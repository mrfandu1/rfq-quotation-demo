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21080683f647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ation draft" sheetId="1" r:id="R0a21afcba9c847c8"/>
    <x:sheet xmlns:r="http://schemas.openxmlformats.org/officeDocument/2006/relationships" name="Catalogue" sheetId="2" r:id="R500702ad2cf84e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"/>
  </x:numFmts>
  <x:fonts count="12">
    <x:font>
      <x:sz val="11"/>
      <x:name val="Carlito"/>
    </x:font>
    <x:font>
      <x:sz val="11"/>
      <x:name val="Arial"/>
    </x:font>
    <x:font>
      <x:sz val="11"/>
      <x:color rgb="FF17324D"/>
      <x:name val="Arial"/>
    </x:font>
    <x:font>
      <x:sz val="24"/>
      <x:color rgb="FF17324D"/>
      <x:name val="Arial"/>
    </x:font>
    <x:font>
      <x:sz val="11"/>
      <x:color rgb="FF64748B"/>
      <x:name val="Arial"/>
    </x:font>
    <x:font>
      <x:b/>
      <x:sz val="11"/>
      <x:color rgb="FF17324D"/>
      <x:name val="Arial"/>
    </x:font>
    <x:font>
      <x:sz val="11"/>
      <x:color rgb="FF995A10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sz val="11"/>
      <x:color rgb="FF14715B"/>
      <x:name val="Arial"/>
    </x:font>
    <x:font>
      <x:sz val="11"/>
      <x:color rgb="FF80520C"/>
      <x:name val="Arial"/>
    </x:font>
    <x:font>
      <x:sz val="20"/>
      <x:color rgb="FF17324D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AF0F5"/>
      </x:patternFill>
    </x:fill>
    <x:fill>
      <x:patternFill patternType="solid">
        <x:fgColor rgb="FF17324D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  <x:fill>
      <x:patternFill patternType="solid">
        <x:fgColor rgb="FFFFF2D9"/>
      </x:patternFill>
    </x:fill>
  </x:fills>
  <x:borders count="1">
    <x:border/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200" fontId="2" fillId="4" borderId="0" xfId="0" applyNumberFormat="1" applyFont="1" applyFill="1" applyBorder="1" applyAlignment="1">
      <x:alignment vertical="center"/>
    </x:xf>
    <x:xf numFmtId="200" fontId="2" fillId="5" borderId="0" xfId="0" applyNumberFormat="1" applyFont="1" applyFill="1" applyBorder="1" applyAlignment="1">
      <x:alignment vertical="center"/>
    </x:xf>
    <x:xf numFmtId="201" fontId="2" fillId="4" borderId="0" xfId="0" applyNumberFormat="1" applyFont="1" applyFill="1" applyBorder="1" applyAlignment="1">
      <x:alignment vertical="center"/>
    </x:xf>
    <x:xf numFmtId="201" fontId="2" fillId="5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ff8021d97741de" /><Relationship Type="http://schemas.openxmlformats.org/officeDocument/2006/relationships/theme" Target="/xl/theme/theme1.xml" Id="R4de873e8ef504812" /><Relationship Type="http://schemas.openxmlformats.org/officeDocument/2006/relationships/sharedStrings" Target="/xl/sharedStrings.xml" Id="R1d2305d21f3c43d7" /><Relationship Type="http://schemas.openxmlformats.org/officeDocument/2006/relationships/worksheet" Target="/xl/worksheets/sheet1.xml" Id="R0a21afcba9c847c8" /><Relationship Type="http://schemas.openxmlformats.org/officeDocument/2006/relationships/worksheet" Target="/xl/worksheets/sheet2.xml" Id="R500702ad2cf84e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6" hidden="0" customWidth="1"/>
    <x:col min="2" max="2" width="14" hidden="0" customWidth="1"/>
    <x:col min="3" max="3" width="31" hidden="0" customWidth="1"/>
    <x:col min="4" max="4" width="8" hidden="0" customWidth="1"/>
    <x:col min="5" max="5" width="8" hidden="0" customWidth="1"/>
    <x:col min="6" max="6" width="12" hidden="0" customWidth="1"/>
    <x:col min="7" max="7" width="14" hidden="0" customWidth="1"/>
    <x:col min="8" max="8" width="14" hidden="0" customWidth="1"/>
    <x:col min="9" max="9" width="12" hidden="0" customWidth="1"/>
    <x:col min="10" max="10" width="29" hidden="0" customWidth="1"/>
  </x:cols>
  <x:sheetData>
    <x:row r="1" ht="42" customHeight="1">
      <x:c r="A1" s="4" t="str">
        <x:v>Quotation draft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5" t="str">
        <x:v>RFQ-DEMO-001 | Synthetic data | USD | Human review required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5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25" customHeight="1">
      <x:c r="A4" s="12" t="str">
        <x:v>Priced subtotal (USD)</x:v>
      </x:c>
      <x:c r="B4" s="12"/>
      <x:c r="C4" s="12"/>
      <x:c r="D4" s="13" t="n">
        <x:f>SUM(H9:H16)</x:f>
        <x:v>149</x:v>
      </x:c>
      <x:c r="E4" s="14"/>
      <x:c r="F4" s="12" t="str">
        <x:v>Rows needing review</x:v>
      </x:c>
      <x:c r="G4" s="12"/>
      <x:c r="H4" s="12"/>
      <x:c r="I4" s="14" t="n">
        <x:f>COUNTIF(I9:I16,"REVIEW")</x:f>
        <x:v>6</x:v>
      </x:c>
      <x:c r="J4" s="14"/>
    </x:row>
    <x:row r="5" ht="25" customHeight="1">
      <x:c r="A5" s="15" t="str">
        <x:v>Subtotal includes only the two matched rows. Six unpriced rows remain; this is not a complete quotation.</x:v>
      </x:c>
      <x:c r="B5" s="3"/>
      <x:c r="C5" s="3"/>
      <x:c r="D5" s="3"/>
      <x:c r="E5" s="3"/>
      <x:c r="F5" s="3"/>
      <x:c r="G5" s="3"/>
      <x:c r="H5" s="3"/>
      <x:c r="I5" s="3"/>
      <x:c r="J5" s="3"/>
    </x:row>
    <x:row r="6" ht="25" customHeight="1">
      <x:c r="A6" s="5" t="str">
        <x:v>Taxes, delivery charges and product substitutions are excluded. All prices are synthetic.</x:v>
      </x:c>
      <x:c r="B6" s="3"/>
      <x:c r="C6" s="3"/>
      <x:c r="D6" s="3"/>
      <x:c r="E6" s="3"/>
      <x:c r="F6" s="3"/>
      <x:c r="G6" s="3"/>
      <x:c r="H6" s="3"/>
      <x:c r="I6" s="3"/>
      <x:c r="J6" s="3"/>
    </x:row>
    <x:row r="7" ht="2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</x:row>
    <x:row r="8" ht="37" customHeight="1">
      <x:c r="A8" s="19" t="str">
        <x:v>Line</x:v>
      </x:c>
      <x:c r="B8" s="19" t="str">
        <x:v>Code</x:v>
      </x:c>
      <x:c r="C8" s="19" t="str">
        <x:v>Requested description</x:v>
      </x:c>
      <x:c r="D8" s="19" t="str">
        <x:v>Qty</x:v>
      </x:c>
      <x:c r="E8" s="19" t="str">
        <x:v>Unit</x:v>
      </x:c>
      <x:c r="F8" s="19" t="str">
        <x:v>Catalogue unit</x:v>
      </x:c>
      <x:c r="G8" s="19" t="str">
        <x:v>Unit price USD</x:v>
      </x:c>
      <x:c r="H8" s="19" t="str">
        <x:v>Amount USD</x:v>
      </x:c>
      <x:c r="I8" s="19" t="str">
        <x:v>Status</x:v>
      </x:c>
      <x:c r="J8" s="19" t="str">
        <x:v>Review reason</x:v>
      </x:c>
    </x:row>
    <x:row r="9" ht="32" customHeight="1">
      <x:c r="A9" s="20" t="n">
        <x:v>1</x:v>
      </x:c>
      <x:c r="B9" s="20" t="str">
        <x:v>MCB-016</x:v>
      </x:c>
      <x:c r="C9" s="26" t="str">
        <x:v>MCB 16A single pole</x:v>
      </x:c>
      <x:c r="D9" s="30" t="n">
        <x:v>12</x:v>
      </x:c>
      <x:c r="E9" s="20" t="str">
        <x:v>EA</x:v>
      </x:c>
      <x:c r="F9" s="20" t="str">
        <x:v>EA</x:v>
      </x:c>
      <x:c r="G9" s="28" t="n">
        <x:v>8.5</x:v>
      </x:c>
      <x:c r="H9" s="28" t="n">
        <x:f>IF(I9="MATCHED",ROUND(D9*G9,2),"")</x:f>
        <x:v>102</x:v>
      </x:c>
      <x:c r="I9" s="21" t="str">
        <x:v>MATCHED</x:v>
      </x:c>
      <x:c r="J9" s="20" t="str"/>
    </x:row>
    <x:row r="10" ht="32" customHeight="1">
      <x:c r="A10" s="22" t="n">
        <x:v>2</x:v>
      </x:c>
      <x:c r="B10" s="22" t="str">
        <x:v>TRM-004</x:v>
      </x:c>
      <x:c r="C10" s="27" t="str">
        <x:v>Terminal block 4 mm2</x:v>
      </x:c>
      <x:c r="D10" s="31" t="n">
        <x:v>20</x:v>
      </x:c>
      <x:c r="E10" s="22" t="str">
        <x:v>EA</x:v>
      </x:c>
      <x:c r="F10" s="22" t="str">
        <x:v>EA</x:v>
      </x:c>
      <x:c r="G10" s="29" t="n">
        <x:v>2.35</x:v>
      </x:c>
      <x:c r="H10" s="29" t="n">
        <x:f>IF(I10="MATCHED",ROUND(D10*G10,2),"")</x:f>
        <x:v>47</x:v>
      </x:c>
      <x:c r="I10" s="23" t="str">
        <x:v>MATCHED</x:v>
      </x:c>
      <x:c r="J10" s="22" t="str"/>
    </x:row>
    <x:row r="11" ht="32" customHeight="1">
      <x:c r="A11" s="20" t="n">
        <x:v>3</x:v>
      </x:c>
      <x:c r="B11" s="20" t="str">
        <x:v>UNK-999</x:v>
      </x:c>
      <x:c r="C11" s="26" t="str">
        <x:v>Unlisted accessory</x:v>
      </x:c>
      <x:c r="D11" s="30" t="n">
        <x:v>4</x:v>
      </x:c>
      <x:c r="E11" s="20" t="str">
        <x:v>EA</x:v>
      </x:c>
      <x:c r="F11" s="20" t="str"/>
      <x:c r="G11" s="28"/>
      <x:c r="H11" s="28" t="str">
        <x:f>IF(I11="MATCHED",ROUND(D11*G11,2),"")</x:f>
      </x:c>
      <x:c r="I11" s="25" t="str">
        <x:v>REVIEW</x:v>
      </x:c>
      <x:c r="J11" s="25" t="str">
        <x:v>Unknown product code</x:v>
      </x:c>
    </x:row>
    <x:row r="12" ht="32" customHeight="1">
      <x:c r="A12" s="22" t="n">
        <x:v>4</x:v>
      </x:c>
      <x:c r="B12" s="22" t="str">
        <x:v>CNT-025</x:v>
      </x:c>
      <x:c r="C12" s="27" t="str">
        <x:v>Contactor 25A</x:v>
      </x:c>
      <x:c r="D12" s="31" t="n">
        <x:v>2</x:v>
      </x:c>
      <x:c r="E12" s="22" t="str">
        <x:v>EA</x:v>
      </x:c>
      <x:c r="F12" s="22" t="str"/>
      <x:c r="G12" s="29"/>
      <x:c r="H12" s="29" t="str">
        <x:f>IF(I12="MATCHED",ROUND(D12*G12,2),"")</x:f>
      </x:c>
      <x:c r="I12" s="25" t="str">
        <x:v>REVIEW</x:v>
      </x:c>
      <x:c r="J12" s="25" t="str">
        <x:v>Duplicate catalogue code</x:v>
      </x:c>
    </x:row>
    <x:row r="13" ht="32" customHeight="1">
      <x:c r="A13" s="20" t="n">
        <x:v>5</x:v>
      </x:c>
      <x:c r="B13" s="20" t="str">
        <x:v>CBL-025</x:v>
      </x:c>
      <x:c r="C13" s="26" t="str">
        <x:v>Cable 2.5 mm2</x:v>
      </x:c>
      <x:c r="D13" s="30" t="n">
        <x:v>10</x:v>
      </x:c>
      <x:c r="E13" s="20" t="str">
        <x:v>EA</x:v>
      </x:c>
      <x:c r="F13" s="20" t="str">
        <x:v>M</x:v>
      </x:c>
      <x:c r="G13" s="28"/>
      <x:c r="H13" s="28" t="str">
        <x:f>IF(I13="MATCHED",ROUND(D13*G13,2),"")</x:f>
      </x:c>
      <x:c r="I13" s="25" t="str">
        <x:v>REVIEW</x:v>
      </x:c>
      <x:c r="J13" s="25" t="str">
        <x:v>Unit mismatch</x:v>
      </x:c>
    </x:row>
    <x:row r="14" ht="32" customHeight="1">
      <x:c r="A14" s="22" t="n">
        <x:v>6</x:v>
      </x:c>
      <x:c r="B14" s="22" t="str">
        <x:v>DIN-035</x:v>
      </x:c>
      <x:c r="C14" s="27" t="str">
        <x:v>DIN rail 35 mm</x:v>
      </x:c>
      <x:c r="D14" s="31" t="n">
        <x:v>8</x:v>
      </x:c>
      <x:c r="E14" s="22" t="str">
        <x:v>M</x:v>
      </x:c>
      <x:c r="F14" s="22" t="str">
        <x:v>M</x:v>
      </x:c>
      <x:c r="G14" s="29"/>
      <x:c r="H14" s="29" t="str">
        <x:f>IF(I14="MATCHED",ROUND(D14*G14,2),"")</x:f>
      </x:c>
      <x:c r="I14" s="25" t="str">
        <x:v>REVIEW</x:v>
      </x:c>
      <x:c r="J14" s="25" t="str">
        <x:v>Missing approved price</x:v>
      </x:c>
    </x:row>
    <x:row r="15" ht="32" customHeight="1">
      <x:c r="A15" s="20" t="n">
        <x:v>7</x:v>
      </x:c>
      <x:c r="B15" s="20" t="str">
        <x:v>RLY-024</x:v>
      </x:c>
      <x:c r="C15" s="26" t="str">
        <x:v>Relay 24V DC</x:v>
      </x:c>
      <x:c r="D15" s="30" t="n">
        <x:v>3</x:v>
      </x:c>
      <x:c r="E15" s="20" t="str">
        <x:v>EA</x:v>
      </x:c>
      <x:c r="F15" s="20" t="str">
        <x:v>EA</x:v>
      </x:c>
      <x:c r="G15" s="28"/>
      <x:c r="H15" s="28" t="str">
        <x:f>IF(I15="MATCHED",ROUND(D15*G15,2),"")</x:f>
      </x:c>
      <x:c r="I15" s="25" t="str">
        <x:v>REVIEW</x:v>
      </x:c>
      <x:c r="J15" s="25" t="str">
        <x:v>Price not approved</x:v>
      </x:c>
    </x:row>
    <x:row r="16" ht="32" customHeight="1">
      <x:c r="A16" s="22" t="n">
        <x:v>8</x:v>
      </x:c>
      <x:c r="B16" s="22" t="str">
        <x:v>MCB-032</x:v>
      </x:c>
      <x:c r="C16" s="27" t="str">
        <x:v>MCB 32A three pole</x:v>
      </x:c>
      <x:c r="D16" s="31" t="n">
        <x:v>2</x:v>
      </x:c>
      <x:c r="E16" s="22" t="str">
        <x:v>EA</x:v>
      </x:c>
      <x:c r="F16" s="22" t="str">
        <x:v>EA</x:v>
      </x:c>
      <x:c r="G16" s="29"/>
      <x:c r="H16" s="29" t="str">
        <x:f>IF(I16="MATCHED",ROUND(D16*G16,2),"")</x:f>
      </x:c>
      <x:c r="I16" s="25" t="str">
        <x:v>REVIEW</x:v>
      </x:c>
      <x:c r="J16" s="25" t="str">
        <x:v>Description mismatch</x:v>
      </x:c>
    </x:row>
    <x:row r="17" ht="2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</x:row>
    <x:row r="18" ht="25" customHeight="1">
      <x:c r="A18" s="5" t="str">
        <x:v>For line 8, the catalogue describes a single-pole breaker; the RFQ requests three poles.</x:v>
      </x:c>
      <x:c r="B18" s="5"/>
      <x:c r="C18" s="5"/>
      <x:c r="D18" s="5"/>
      <x:c r="E18" s="5"/>
      <x:c r="F18" s="5"/>
      <x:c r="G18" s="5"/>
      <x:c r="H18" s="5"/>
      <x:c r="I18" s="5"/>
      <x:c r="J18" s="5"/>
    </x:row>
    <x:row r="19" ht="25" customHeight="1">
      <x:c r="A19" s="5" t="str">
        <x:v>Review flagged rows against the source. Correct approved input data and rerun; no substitution is made automatically.</x:v>
      </x:c>
      <x:c r="B19" s="5"/>
      <x:c r="C19" s="5"/>
      <x:c r="D19" s="5"/>
      <x:c r="E19" s="5"/>
      <x:c r="F19" s="5"/>
      <x:c r="G19" s="5"/>
      <x:c r="H19" s="5"/>
      <x:c r="I19" s="5"/>
      <x:c r="J19" s="5"/>
    </x:row>
    <x:row r="20" ht="2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</x:row>
    <x:row r="21" ht="2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</x:row>
    <x:row r="22" ht="2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</x:row>
    <x:row r="23" ht="2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</x:row>
    <x:row r="24" ht="2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</x:row>
  </x:sheetData>
  <x:mergeCells>
    <x:mergeCell ref="A1:J1"/>
    <x:mergeCell ref="A2:J2"/>
    <x:mergeCell ref="A4:C4"/>
    <x:mergeCell ref="D4:E4"/>
    <x:mergeCell ref="F4:H4"/>
    <x:mergeCell ref="I4:J4"/>
    <x:mergeCell ref="A5:J5"/>
    <x:mergeCell ref="A6:J6"/>
    <x:mergeCell ref="A18:J18"/>
    <x:mergeCell ref="A19:J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5" hidden="0" customWidth="1"/>
    <x:col min="3" max="3" width="10" hidden="0" customWidth="1"/>
    <x:col min="4" max="4" width="15" hidden="0" customWidth="1"/>
    <x:col min="5" max="5" width="12" hidden="0" customWidth="1"/>
    <x:col min="6" max="6" width="14" hidden="0" customWidth="1"/>
  </x:cols>
  <x:sheetData>
    <x:row r="1" ht="40" customHeight="1">
      <x:c r="A1" s="32" t="str">
        <x:v>Synthetic catalogue and approved-price inputs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5" t="str">
        <x:v>Source: sample/catalogue.json. Deliberate exceptions demonstrate review behavior.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5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25" customHeight="1">
      <x:c r="A4" s="18" t="str">
        <x:v>Code</x:v>
      </x:c>
      <x:c r="B4" s="18" t="str">
        <x:v>Description</x:v>
      </x:c>
      <x:c r="C4" s="18" t="str">
        <x:v>Unit</x:v>
      </x:c>
      <x:c r="D4" s="18" t="str">
        <x:v>Price USD</x:v>
      </x:c>
      <x:c r="E4" s="18" t="str">
        <x:v>Currency</x:v>
      </x:c>
      <x:c r="F4" s="18" t="str">
        <x:v>Approved</x:v>
      </x:c>
      <x:c r="G4" s="3"/>
      <x:c r="H4" s="3"/>
      <x:c r="I4" s="3"/>
      <x:c r="J4" s="3"/>
    </x:row>
    <x:row r="5" ht="25" customHeight="1">
      <x:c r="A5" s="20" t="str">
        <x:v>MCB-016</x:v>
      </x:c>
      <x:c r="B5" s="20" t="str">
        <x:v>MCB 16A single pole</x:v>
      </x:c>
      <x:c r="C5" s="20" t="str">
        <x:v>EA</x:v>
      </x:c>
      <x:c r="D5" s="28" t="n">
        <x:v>8.5</x:v>
      </x:c>
      <x:c r="E5" s="20" t="str">
        <x:v>USD</x:v>
      </x:c>
      <x:c r="F5" s="20" t="str">
        <x:v>Yes</x:v>
      </x:c>
      <x:c r="G5" s="3"/>
      <x:c r="H5" s="3"/>
      <x:c r="I5" s="3"/>
      <x:c r="J5" s="3"/>
    </x:row>
    <x:row r="6" ht="25" customHeight="1">
      <x:c r="A6" s="22" t="str">
        <x:v>TRM-004</x:v>
      </x:c>
      <x:c r="B6" s="22" t="str">
        <x:v>Terminal block 4 mm2</x:v>
      </x:c>
      <x:c r="C6" s="22" t="str">
        <x:v>EA</x:v>
      </x:c>
      <x:c r="D6" s="29" t="n">
        <x:v>2.35</x:v>
      </x:c>
      <x:c r="E6" s="22" t="str">
        <x:v>USD</x:v>
      </x:c>
      <x:c r="F6" s="22" t="str">
        <x:v>Yes</x:v>
      </x:c>
      <x:c r="G6" s="3"/>
      <x:c r="H6" s="3"/>
      <x:c r="I6" s="3"/>
      <x:c r="J6" s="3"/>
    </x:row>
    <x:row r="7" ht="25" customHeight="1">
      <x:c r="A7" s="20" t="str">
        <x:v>CNT-025</x:v>
      </x:c>
      <x:c r="B7" s="20" t="str">
        <x:v>Contactor 25A</x:v>
      </x:c>
      <x:c r="C7" s="20" t="str">
        <x:v>EA</x:v>
      </x:c>
      <x:c r="D7" s="28" t="n">
        <x:v>30</x:v>
      </x:c>
      <x:c r="E7" s="20" t="str">
        <x:v>USD</x:v>
      </x:c>
      <x:c r="F7" s="20" t="str">
        <x:v>Yes</x:v>
      </x:c>
      <x:c r="G7" s="3"/>
      <x:c r="H7" s="3"/>
      <x:c r="I7" s="3"/>
      <x:c r="J7" s="3"/>
    </x:row>
    <x:row r="8" ht="25" customHeight="1">
      <x:c r="A8" s="22" t="str">
        <x:v>CNT-025</x:v>
      </x:c>
      <x:c r="B8" s="22" t="str">
        <x:v>Contactor 25A</x:v>
      </x:c>
      <x:c r="C8" s="22" t="str">
        <x:v>EA</x:v>
      </x:c>
      <x:c r="D8" s="29" t="n">
        <x:v>32</x:v>
      </x:c>
      <x:c r="E8" s="22" t="str">
        <x:v>USD</x:v>
      </x:c>
      <x:c r="F8" s="22" t="str">
        <x:v>Yes</x:v>
      </x:c>
      <x:c r="G8" s="3"/>
      <x:c r="H8" s="3"/>
      <x:c r="I8" s="3"/>
      <x:c r="J8" s="3"/>
    </x:row>
    <x:row r="9" ht="25" customHeight="1">
      <x:c r="A9" s="20" t="str">
        <x:v>CBL-025</x:v>
      </x:c>
      <x:c r="B9" s="20" t="str">
        <x:v>Cable 2.5 mm2</x:v>
      </x:c>
      <x:c r="C9" s="20" t="str">
        <x:v>M</x:v>
      </x:c>
      <x:c r="D9" s="28" t="n">
        <x:v>0.9</x:v>
      </x:c>
      <x:c r="E9" s="20" t="str">
        <x:v>USD</x:v>
      </x:c>
      <x:c r="F9" s="20" t="str">
        <x:v>Yes</x:v>
      </x:c>
      <x:c r="G9" s="3"/>
      <x:c r="H9" s="3"/>
      <x:c r="I9" s="3"/>
      <x:c r="J9" s="3"/>
    </x:row>
    <x:row r="10" ht="25" customHeight="1">
      <x:c r="A10" s="22" t="str">
        <x:v>DIN-035</x:v>
      </x:c>
      <x:c r="B10" s="22" t="str">
        <x:v>DIN rail 35 mm</x:v>
      </x:c>
      <x:c r="C10" s="22" t="str">
        <x:v>M</x:v>
      </x:c>
      <x:c r="D10" s="29"/>
      <x:c r="E10" s="22" t="str">
        <x:v>USD</x:v>
      </x:c>
      <x:c r="F10" s="22" t="str">
        <x:v>Yes</x:v>
      </x:c>
      <x:c r="G10" s="3"/>
      <x:c r="H10" s="3"/>
      <x:c r="I10" s="3"/>
      <x:c r="J10" s="3"/>
    </x:row>
    <x:row r="11" ht="25" customHeight="1">
      <x:c r="A11" s="20" t="str">
        <x:v>RLY-024</x:v>
      </x:c>
      <x:c r="B11" s="20" t="str">
        <x:v>Relay 24V DC</x:v>
      </x:c>
      <x:c r="C11" s="20" t="str">
        <x:v>EA</x:v>
      </x:c>
      <x:c r="D11" s="28" t="n">
        <x:v>4.6</x:v>
      </x:c>
      <x:c r="E11" s="20" t="str">
        <x:v>USD</x:v>
      </x:c>
      <x:c r="F11" s="20" t="str">
        <x:v>No</x:v>
      </x:c>
      <x:c r="G11" s="3"/>
      <x:c r="H11" s="3"/>
      <x:c r="I11" s="3"/>
      <x:c r="J11" s="3"/>
    </x:row>
    <x:row r="12" ht="25" customHeight="1">
      <x:c r="A12" s="22" t="str">
        <x:v>MCB-032</x:v>
      </x:c>
      <x:c r="B12" s="22" t="str">
        <x:v>MCB 32A single pole</x:v>
      </x:c>
      <x:c r="C12" s="22" t="str">
        <x:v>EA</x:v>
      </x:c>
      <x:c r="D12" s="29" t="n">
        <x:v>12</x:v>
      </x:c>
      <x:c r="E12" s="22" t="str">
        <x:v>USD</x:v>
      </x:c>
      <x:c r="F12" s="22" t="str">
        <x:v>Yes</x:v>
      </x:c>
      <x:c r="G12" s="3"/>
      <x:c r="H12" s="3"/>
      <x:c r="I12" s="3"/>
      <x:c r="J12" s="3"/>
    </x:row>
    <x:row r="13" ht="2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</x:row>
    <x:row r="14" ht="25" customHeight="1">
      <x:c r="A14" s="5" t="str">
        <x:v>CNT-025 is intentionally duplicated. DIN-035 has no price. RLY-024 is unapproved.</x:v>
      </x:c>
      <x:c r="B14" s="3"/>
      <x:c r="C14" s="3"/>
      <x:c r="D14" s="3"/>
      <x:c r="E14" s="3"/>
      <x:c r="F14" s="3"/>
      <x:c r="G14" s="3"/>
      <x:c r="H14" s="3"/>
      <x:c r="I14" s="3"/>
      <x:c r="J14" s="3"/>
    </x:row>
    <x:row r="15" ht="2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</x:row>
    <x:row r="16" ht="2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</x:row>
    <x:row r="17" ht="2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</x:row>
    <x:row r="18" ht="2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</x:row>
    <x:row r="19" ht="2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</x:row>
    <x:row r="20" ht="2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</x:row>
    <x:row r="21" ht="2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</x:row>
    <x:row r="22" ht="2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</x:row>
    <x:row r="23" ht="2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</x:row>
    <x:row r="24" ht="2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</x:row>
  </x:sheetData>
  <x:mergeCells>
    <x:mergeCell ref="A1:F1"/>
    <x:mergeCell ref="A2:F2"/>
    <x:mergeCell ref="A14:F14"/>
  </x:mergeCells>
  <x:pageMargins left="0.7" right="0.7" top="0.75" bottom="0.75" header="0.3" footer="0.3"/>
</x:worksheet>
</file>